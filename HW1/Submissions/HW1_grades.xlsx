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02"/>
  <workbookPr codeName="ThisWorkbook"/>
  <mc:AlternateContent xmlns:mc="http://schemas.openxmlformats.org/markup-compatibility/2006">
    <mc:Choice Requires="x15">
      <x15ac:absPath xmlns:x15ac="http://schemas.microsoft.com/office/spreadsheetml/2010/11/ac" url="/Users/hyeonminlee/Documents/GitHub/ModelingClass2025/HW1/HW1-grading/"/>
    </mc:Choice>
  </mc:AlternateContent>
  <xr:revisionPtr revIDLastSave="0" documentId="13_ncr:1_{170B49F4-C9A7-0B41-937B-69F79C59E664}" xr6:coauthVersionLast="47" xr6:coauthVersionMax="47" xr10:uidLastSave="{00000000-0000-0000-0000-000000000000}"/>
  <bookViews>
    <workbookView xWindow="27480" yWindow="2040" windowWidth="23560" windowHeight="177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6" i="1"/>
  <c r="H7" i="1"/>
  <c r="H9" i="1"/>
  <c r="H10" i="1"/>
  <c r="H11" i="1"/>
  <c r="H12" i="1"/>
  <c r="H13" i="1"/>
  <c r="H14" i="1"/>
  <c r="H2" i="1"/>
</calcChain>
</file>

<file path=xl/sharedStrings.xml><?xml version="1.0" encoding="utf-8"?>
<sst xmlns="http://schemas.openxmlformats.org/spreadsheetml/2006/main" count="108" uniqueCount="87">
  <si>
    <t>No.</t>
  </si>
  <si>
    <t>ID number</t>
  </si>
  <si>
    <t>Fullname</t>
  </si>
  <si>
    <t>Role</t>
  </si>
  <si>
    <t>1</t>
  </si>
  <si>
    <t>2</t>
  </si>
  <si>
    <t>3</t>
  </si>
  <si>
    <t>4</t>
  </si>
  <si>
    <t>6</t>
  </si>
  <si>
    <t>8</t>
  </si>
  <si>
    <t>9</t>
  </si>
  <si>
    <t>Q2</t>
  </si>
  <si>
    <t>Q1 (100 points)</t>
  </si>
  <si>
    <t>Q2 (Bonus 20 points)</t>
  </si>
  <si>
    <t xml:space="preserve">Score (100) </t>
  </si>
  <si>
    <t>comments</t>
  </si>
  <si>
    <t>5</t>
  </si>
  <si>
    <t>7</t>
  </si>
  <si>
    <t xml:space="preserve">Q1 </t>
  </si>
  <si>
    <t>(a) figure</t>
  </si>
  <si>
    <t>100 points</t>
  </si>
  <si>
    <t xml:space="preserve">(b) MLE </t>
  </si>
  <si>
    <t>(c) r square</t>
  </si>
  <si>
    <t>bonus 20 points</t>
  </si>
  <si>
    <t>Scoring Criteria (HW1)</t>
  </si>
  <si>
    <t>Question</t>
  </si>
  <si>
    <t>points</t>
  </si>
  <si>
    <t>criteria</t>
  </si>
  <si>
    <t>5 for each model</t>
  </si>
  <si>
    <t>1 for each model</t>
  </si>
  <si>
    <t>* If the answer is incorrect due to minor mistake in codes (e.g. typo), 50% deduction in score. </t>
  </si>
  <si>
    <t>(b) LSE</t>
    <phoneticPr fontId="1" type="noConversion"/>
  </si>
  <si>
    <t>Department</t>
  </si>
  <si>
    <t>10</t>
  </si>
  <si>
    <t>11</t>
  </si>
  <si>
    <t>12</t>
  </si>
  <si>
    <t>13</t>
  </si>
  <si>
    <t>4 for each model</t>
    <phoneticPr fontId="1" type="noConversion"/>
  </si>
  <si>
    <t>학생</t>
    <phoneticPr fontId="1" type="noConversion"/>
  </si>
  <si>
    <t>청강생</t>
    <phoneticPr fontId="1" type="noConversion"/>
  </si>
  <si>
    <t>강정윤</t>
    <phoneticPr fontId="1" type="noConversion"/>
  </si>
  <si>
    <t>김기표</t>
    <phoneticPr fontId="1" type="noConversion"/>
  </si>
  <si>
    <t>김동준</t>
    <phoneticPr fontId="1" type="noConversion"/>
  </si>
  <si>
    <t>김진일</t>
    <phoneticPr fontId="1" type="noConversion"/>
  </si>
  <si>
    <t>박윤수</t>
    <phoneticPr fontId="1" type="noConversion"/>
  </si>
  <si>
    <t>박창현</t>
    <phoneticPr fontId="1" type="noConversion"/>
  </si>
  <si>
    <t>양승민</t>
    <phoneticPr fontId="1" type="noConversion"/>
  </si>
  <si>
    <t>유시오</t>
    <phoneticPr fontId="1" type="noConversion"/>
  </si>
  <si>
    <t>이동원</t>
    <phoneticPr fontId="1" type="noConversion"/>
  </si>
  <si>
    <t>정진우</t>
    <phoneticPr fontId="1" type="noConversion"/>
  </si>
  <si>
    <t>조유솜</t>
    <phoneticPr fontId="1" type="noConversion"/>
  </si>
  <si>
    <t>지수연</t>
    <phoneticPr fontId="1" type="noConversion"/>
  </si>
  <si>
    <t>황희준</t>
    <phoneticPr fontId="1" type="noConversion"/>
  </si>
  <si>
    <t>P0061836</t>
    <phoneticPr fontId="1" type="noConversion"/>
  </si>
  <si>
    <t>P0064052</t>
    <phoneticPr fontId="1" type="noConversion"/>
  </si>
  <si>
    <t>2025-23157</t>
    <phoneticPr fontId="1" type="noConversion"/>
  </si>
  <si>
    <t>2025-22790</t>
    <phoneticPr fontId="1" type="noConversion"/>
  </si>
  <si>
    <t>2021-17625</t>
    <phoneticPr fontId="1" type="noConversion"/>
  </si>
  <si>
    <t>2023-11200</t>
    <phoneticPr fontId="1" type="noConversion"/>
  </si>
  <si>
    <t>2020-10278</t>
    <phoneticPr fontId="1" type="noConversion"/>
  </si>
  <si>
    <t>2020-17092</t>
    <phoneticPr fontId="1" type="noConversion"/>
  </si>
  <si>
    <t>2021-19917</t>
    <phoneticPr fontId="1" type="noConversion"/>
  </si>
  <si>
    <t>P0063790</t>
    <phoneticPr fontId="1" type="noConversion"/>
  </si>
  <si>
    <t>2025-27971</t>
    <phoneticPr fontId="1" type="noConversion"/>
  </si>
  <si>
    <t>2025-93373</t>
    <phoneticPr fontId="1" type="noConversion"/>
  </si>
  <si>
    <t>2020-11251</t>
    <phoneticPr fontId="1" type="noConversion"/>
  </si>
  <si>
    <t>code는 맞는데 typo가 있거나, 보고를 잘못한 경우, -1.5</t>
    <phoneticPr fontId="1" type="noConversion"/>
  </si>
  <si>
    <t>(a) 그래프를 그리지 않았을 경우 -30</t>
  </si>
  <si>
    <t>(b) parameter estimates 잘못 보고하였거나 보고하지 않은 경우 -5 for each model</t>
    <phoneticPr fontId="1" type="noConversion"/>
  </si>
  <si>
    <t>(a) 그래프를 그리지 않았을 경우 -6</t>
  </si>
  <si>
    <t>(b) parameter estimates 잘못 보고하였거나 보고하지 않은 경우 -1 for each model</t>
    <phoneticPr fontId="1" type="noConversion"/>
  </si>
  <si>
    <t>(c) SSE, r^2 잘못 보고하였거나 (둘 다) 보고하지 않은 경우 -1 for each model</t>
  </si>
  <si>
    <t>(c) log-likelihood, r^2 잘못 보고하였거나 (둘 다) 보고하지 않은 경우 -5 for each model</t>
    <phoneticPr fontId="1" type="noConversion"/>
  </si>
  <si>
    <t>청강</t>
    <phoneticPr fontId="1" type="noConversion"/>
  </si>
  <si>
    <t>뇌인지과학과</t>
    <phoneticPr fontId="1" type="noConversion"/>
  </si>
  <si>
    <t>언어학과</t>
    <phoneticPr fontId="1" type="noConversion"/>
  </si>
  <si>
    <t>자유전공학부</t>
    <phoneticPr fontId="1" type="noConversion"/>
  </si>
  <si>
    <t>심리학과</t>
    <phoneticPr fontId="1" type="noConversion"/>
  </si>
  <si>
    <t>Reported non-existent parameters in MLE parameter estimates (-1.5 × 6 = -9), reported non-existent parameters in LSE estimates (-6), did not plot the LSE results (-6), and reported incorrect SSE values for LSE (-3.5).</t>
    <phoneticPr fontId="1" type="noConversion"/>
  </si>
  <si>
    <t>Reported non-existent parameters in MLE parameter estimates (-1.5 × 6 = -9).</t>
    <phoneticPr fontId="1" type="noConversion"/>
  </si>
  <si>
    <t>Incorrectly reported parameter b as parameter a for POW1, EXP1, and HYP1 models in the parameter estimates (-1.5).</t>
    <phoneticPr fontId="1" type="noConversion"/>
  </si>
  <si>
    <t>Missing one-paragraph summary; although the log-likelihood code is correct, the reported values are incorrect (-35/2 = -17.5); reported log-likelihood instead of SSE for LSE (-0.5 × 6 = -3); incorrect SSE and R² reported for LSE HYP2 model (-1).</t>
    <phoneticPr fontId="1" type="noConversion"/>
  </si>
  <si>
    <t>산림과학부</t>
    <phoneticPr fontId="1" type="noConversion"/>
  </si>
  <si>
    <t>1점</t>
    <phoneticPr fontId="1" type="noConversion"/>
  </si>
  <si>
    <t>Errors in r2_hyp1 calculation (-5), plotting error in EXP1 model (-4), incorrect reporting of POW3 model (reported as the best model even though it does not exist; likely a typo for EXPOW, -1.5), and failure to report parameter estimates although the code is correct (-5).</t>
    <phoneticPr fontId="1" type="noConversion"/>
  </si>
  <si>
    <t>Although the parameter estimate code is correct, the estimates were not reported (-5); the LSE graph was not drawn (-6); LSE parameter estimates were not reported (-1); and LSE SSE was not reported (-3.5).</t>
    <phoneticPr fontId="1" type="noConversion"/>
  </si>
  <si>
    <t>Although the code for LSE is perfect but he didn't report the result and discussion (-3)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</si>
</sst>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rgb="FF000000"/>
      <name val="Calibri"/>
    </font>
    <font>
      <sz val="8"/>
      <name val="Calibri"/>
      <family val="2"/>
    </font>
    <font>
      <sz val="10"/>
      <color rgb="FF000000"/>
      <name val="맑은 고딕"/>
      <family val="2"/>
      <charset val="129"/>
      <scheme val="minor"/>
    </font>
    <font>
      <b/>
      <sz val="10"/>
      <color rgb="FFFFFFFF"/>
      <name val="맑은 고딕"/>
      <family val="2"/>
      <charset val="129"/>
      <scheme val="minor"/>
    </font>
    <font>
      <sz val="11"/>
      <color rgb="FF000000"/>
      <name val="맑은 고딕"/>
      <family val="2"/>
      <charset val="129"/>
      <scheme val="minor"/>
    </font>
    <font>
      <b/>
      <sz val="10"/>
      <color rgb="FF000000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4728C"/>
        <bgColor rgb="FF000000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0" borderId="1" xfId="0" applyNumberFormat="1" applyFont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/>
    <xf numFmtId="0" fontId="5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5" fillId="0" borderId="0" xfId="0" applyFont="1"/>
    <xf numFmtId="49" fontId="3" fillId="2" borderId="2" xfId="0" applyNumberFormat="1" applyFont="1" applyFill="1" applyBorder="1" applyAlignment="1">
      <alignment horizontal="center" vertical="center" wrapText="1"/>
    </xf>
    <xf numFmtId="49" fontId="3" fillId="2" borderId="0" xfId="0" applyNumberFormat="1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"/>
  <sheetViews>
    <sheetView tabSelected="1" workbookViewId="0">
      <selection activeCell="D4" sqref="D4"/>
    </sheetView>
  </sheetViews>
  <sheetFormatPr baseColWidth="10" defaultColWidth="8.83203125" defaultRowHeight="17"/>
  <cols>
    <col min="1" max="1" width="10" style="3" customWidth="1"/>
    <col min="2" max="5" width="15" style="3" customWidth="1"/>
    <col min="6" max="6" width="18.1640625" style="3" customWidth="1"/>
    <col min="7" max="7" width="18.33203125" style="3" bestFit="1" customWidth="1"/>
    <col min="8" max="8" width="22.1640625" style="3" customWidth="1"/>
    <col min="9" max="9" width="58.5" style="3" customWidth="1"/>
    <col min="10" max="16384" width="8.83203125" style="9"/>
  </cols>
  <sheetData>
    <row r="1" spans="1:9" s="3" customFormat="1" ht="20" customHeight="1">
      <c r="A1" s="2" t="s">
        <v>0</v>
      </c>
      <c r="B1" s="2" t="s">
        <v>1</v>
      </c>
      <c r="C1" s="2" t="s">
        <v>2</v>
      </c>
      <c r="D1" s="2" t="s">
        <v>32</v>
      </c>
      <c r="E1" s="2" t="s">
        <v>3</v>
      </c>
      <c r="F1" s="2" t="s">
        <v>12</v>
      </c>
      <c r="G1" s="2" t="s">
        <v>13</v>
      </c>
      <c r="H1" s="2" t="s">
        <v>14</v>
      </c>
      <c r="I1" s="2" t="s">
        <v>15</v>
      </c>
    </row>
    <row r="2" spans="1:9" s="3" customFormat="1" ht="25" customHeight="1">
      <c r="A2" s="1" t="s">
        <v>4</v>
      </c>
      <c r="B2" s="1" t="s">
        <v>53</v>
      </c>
      <c r="C2" s="1" t="s">
        <v>40</v>
      </c>
      <c r="D2" s="1" t="s">
        <v>73</v>
      </c>
      <c r="E2" s="1" t="s">
        <v>39</v>
      </c>
      <c r="F2" s="4">
        <v>100</v>
      </c>
      <c r="G2" s="4">
        <v>0</v>
      </c>
      <c r="H2" s="4">
        <f>F2+G2</f>
        <v>100</v>
      </c>
      <c r="I2" s="4"/>
    </row>
    <row r="3" spans="1:9" s="3" customFormat="1" ht="69" customHeight="1">
      <c r="A3" s="1" t="s">
        <v>5</v>
      </c>
      <c r="B3" s="1" t="s">
        <v>55</v>
      </c>
      <c r="C3" s="1" t="s">
        <v>41</v>
      </c>
      <c r="D3" s="1" t="s">
        <v>74</v>
      </c>
      <c r="E3" s="1" t="s">
        <v>38</v>
      </c>
      <c r="F3" s="4">
        <v>84.5</v>
      </c>
      <c r="G3" s="4">
        <v>0</v>
      </c>
      <c r="H3" s="4">
        <f t="shared" ref="H3:H14" si="0">F3+G3</f>
        <v>84.5</v>
      </c>
      <c r="I3" s="4" t="s">
        <v>84</v>
      </c>
    </row>
    <row r="4" spans="1:9" s="3" customFormat="1" ht="62" customHeight="1">
      <c r="A4" s="1" t="s">
        <v>6</v>
      </c>
      <c r="B4" s="1" t="s">
        <v>56</v>
      </c>
      <c r="C4" s="1" t="s">
        <v>42</v>
      </c>
      <c r="D4" s="1" t="s">
        <v>77</v>
      </c>
      <c r="E4" s="1" t="s">
        <v>38</v>
      </c>
      <c r="F4" s="4">
        <v>91</v>
      </c>
      <c r="G4" s="4">
        <v>4.5</v>
      </c>
      <c r="H4" s="4">
        <f t="shared" si="0"/>
        <v>95.5</v>
      </c>
      <c r="I4" s="4" t="s">
        <v>78</v>
      </c>
    </row>
    <row r="5" spans="1:9" s="3" customFormat="1" ht="56" customHeight="1">
      <c r="A5" s="1" t="s">
        <v>7</v>
      </c>
      <c r="B5" s="1" t="s">
        <v>57</v>
      </c>
      <c r="C5" s="1" t="s">
        <v>43</v>
      </c>
      <c r="D5" s="1" t="s">
        <v>75</v>
      </c>
      <c r="E5" s="1" t="s">
        <v>38</v>
      </c>
      <c r="F5" s="4">
        <v>100</v>
      </c>
      <c r="G5" s="5">
        <v>0</v>
      </c>
      <c r="H5" s="4">
        <v>117</v>
      </c>
      <c r="I5" s="4" t="s">
        <v>86</v>
      </c>
    </row>
    <row r="6" spans="1:9" s="3" customFormat="1" ht="45" customHeight="1">
      <c r="A6" s="1" t="s">
        <v>16</v>
      </c>
      <c r="B6" s="1" t="s">
        <v>58</v>
      </c>
      <c r="C6" s="1" t="s">
        <v>44</v>
      </c>
      <c r="D6" s="1" t="s">
        <v>82</v>
      </c>
      <c r="E6" s="1" t="s">
        <v>38</v>
      </c>
      <c r="F6" s="4">
        <v>91</v>
      </c>
      <c r="G6" s="4">
        <v>0</v>
      </c>
      <c r="H6" s="4">
        <f t="shared" si="0"/>
        <v>91</v>
      </c>
      <c r="I6" s="6" t="s">
        <v>79</v>
      </c>
    </row>
    <row r="7" spans="1:9" s="3" customFormat="1" ht="51" customHeight="1">
      <c r="A7" s="1" t="s">
        <v>8</v>
      </c>
      <c r="B7" s="1" t="s">
        <v>59</v>
      </c>
      <c r="C7" s="1" t="s">
        <v>45</v>
      </c>
      <c r="D7" s="1" t="s">
        <v>76</v>
      </c>
      <c r="E7" s="1" t="s">
        <v>38</v>
      </c>
      <c r="F7" s="4">
        <v>98.5</v>
      </c>
      <c r="G7" s="4">
        <v>20</v>
      </c>
      <c r="H7" s="4">
        <f t="shared" si="0"/>
        <v>118.5</v>
      </c>
      <c r="I7" s="4" t="s">
        <v>80</v>
      </c>
    </row>
    <row r="8" spans="1:9" s="3" customFormat="1" ht="63" customHeight="1">
      <c r="A8" s="1" t="s">
        <v>17</v>
      </c>
      <c r="B8" s="1" t="s">
        <v>60</v>
      </c>
      <c r="C8" s="1" t="s">
        <v>46</v>
      </c>
      <c r="D8" s="1" t="s">
        <v>77</v>
      </c>
      <c r="E8" s="1" t="s">
        <v>38</v>
      </c>
      <c r="F8" s="4">
        <v>95</v>
      </c>
      <c r="G8" s="4">
        <v>9.5</v>
      </c>
      <c r="H8" s="4">
        <v>104.5</v>
      </c>
      <c r="I8" s="4" t="s">
        <v>85</v>
      </c>
    </row>
    <row r="9" spans="1:9" s="3" customFormat="1" ht="76" customHeight="1">
      <c r="A9" s="1" t="s">
        <v>9</v>
      </c>
      <c r="B9" s="1" t="s">
        <v>61</v>
      </c>
      <c r="C9" s="1" t="s">
        <v>47</v>
      </c>
      <c r="D9" s="1" t="s">
        <v>76</v>
      </c>
      <c r="E9" s="1" t="s">
        <v>38</v>
      </c>
      <c r="F9" s="4">
        <v>82.5</v>
      </c>
      <c r="G9" s="4">
        <v>16</v>
      </c>
      <c r="H9" s="4">
        <f t="shared" si="0"/>
        <v>98.5</v>
      </c>
      <c r="I9" s="4" t="s">
        <v>81</v>
      </c>
    </row>
    <row r="10" spans="1:9" s="3" customFormat="1" ht="25" customHeight="1">
      <c r="A10" s="1" t="s">
        <v>10</v>
      </c>
      <c r="B10" s="1" t="s">
        <v>62</v>
      </c>
      <c r="C10" s="1" t="s">
        <v>48</v>
      </c>
      <c r="D10" s="1" t="s">
        <v>73</v>
      </c>
      <c r="E10" s="1" t="s">
        <v>39</v>
      </c>
      <c r="F10" s="4">
        <v>100</v>
      </c>
      <c r="G10" s="4">
        <v>20</v>
      </c>
      <c r="H10" s="4">
        <f t="shared" si="0"/>
        <v>120</v>
      </c>
      <c r="I10" s="4"/>
    </row>
    <row r="11" spans="1:9" s="3" customFormat="1" ht="25" customHeight="1">
      <c r="A11" s="1" t="s">
        <v>33</v>
      </c>
      <c r="B11" s="1" t="s">
        <v>54</v>
      </c>
      <c r="C11" s="1" t="s">
        <v>49</v>
      </c>
      <c r="D11" s="1" t="s">
        <v>73</v>
      </c>
      <c r="E11" s="1" t="s">
        <v>39</v>
      </c>
      <c r="F11" s="4">
        <v>100</v>
      </c>
      <c r="G11" s="4">
        <v>0</v>
      </c>
      <c r="H11" s="4">
        <f t="shared" si="0"/>
        <v>100</v>
      </c>
      <c r="I11" s="4"/>
    </row>
    <row r="12" spans="1:9" s="3" customFormat="1" ht="25" customHeight="1">
      <c r="A12" s="1" t="s">
        <v>34</v>
      </c>
      <c r="B12" s="1" t="s">
        <v>63</v>
      </c>
      <c r="C12" s="1" t="s">
        <v>50</v>
      </c>
      <c r="D12" s="1" t="s">
        <v>77</v>
      </c>
      <c r="E12" s="1" t="s">
        <v>38</v>
      </c>
      <c r="F12" s="4">
        <v>100</v>
      </c>
      <c r="G12" s="4">
        <v>0</v>
      </c>
      <c r="H12" s="4">
        <f t="shared" si="0"/>
        <v>100</v>
      </c>
      <c r="I12" s="4"/>
    </row>
    <row r="13" spans="1:9" s="3" customFormat="1" ht="25" customHeight="1">
      <c r="A13" s="1" t="s">
        <v>35</v>
      </c>
      <c r="B13" s="1" t="s">
        <v>64</v>
      </c>
      <c r="C13" s="1" t="s">
        <v>51</v>
      </c>
      <c r="D13" s="1"/>
      <c r="E13" s="1" t="s">
        <v>38</v>
      </c>
      <c r="F13" s="4">
        <v>100</v>
      </c>
      <c r="G13" s="4">
        <v>0</v>
      </c>
      <c r="H13" s="4">
        <f t="shared" si="0"/>
        <v>100</v>
      </c>
      <c r="I13" s="4"/>
    </row>
    <row r="14" spans="1:9" s="3" customFormat="1" ht="31" customHeight="1">
      <c r="A14" s="1" t="s">
        <v>36</v>
      </c>
      <c r="B14" s="1" t="s">
        <v>65</v>
      </c>
      <c r="C14" s="1" t="s">
        <v>52</v>
      </c>
      <c r="D14" s="1" t="s">
        <v>77</v>
      </c>
      <c r="E14" s="1" t="s">
        <v>38</v>
      </c>
      <c r="F14" s="4">
        <v>100</v>
      </c>
      <c r="G14" s="4">
        <v>0</v>
      </c>
      <c r="H14" s="4">
        <f t="shared" si="0"/>
        <v>100</v>
      </c>
      <c r="I14" s="4"/>
    </row>
    <row r="15" spans="1:9" s="3" customFormat="1" ht="25" customHeight="1">
      <c r="A15" s="7"/>
      <c r="B15" s="7"/>
      <c r="C15" s="7"/>
      <c r="D15" s="7"/>
      <c r="E15" s="7"/>
      <c r="F15" s="8"/>
      <c r="G15" s="8"/>
      <c r="H15" s="8"/>
      <c r="I15" s="8"/>
    </row>
    <row r="17" spans="1:9">
      <c r="A17" s="18" t="s">
        <v>24</v>
      </c>
      <c r="B17" s="19"/>
    </row>
    <row r="18" spans="1:9">
      <c r="A18" s="10" t="s">
        <v>25</v>
      </c>
      <c r="B18" s="10" t="s">
        <v>26</v>
      </c>
      <c r="C18" s="10" t="s">
        <v>27</v>
      </c>
      <c r="D18" s="11"/>
    </row>
    <row r="19" spans="1:9">
      <c r="A19" s="11" t="s">
        <v>18</v>
      </c>
      <c r="B19" s="11" t="s">
        <v>20</v>
      </c>
      <c r="E19" s="3" t="s">
        <v>66</v>
      </c>
    </row>
    <row r="20" spans="1:9">
      <c r="A20" s="12" t="s">
        <v>19</v>
      </c>
      <c r="B20" s="13">
        <v>30</v>
      </c>
      <c r="C20" s="3" t="s">
        <v>37</v>
      </c>
      <c r="E20" s="3" t="s">
        <v>67</v>
      </c>
    </row>
    <row r="21" spans="1:9">
      <c r="A21" s="12" t="s">
        <v>21</v>
      </c>
      <c r="B21" s="13">
        <v>35</v>
      </c>
      <c r="C21" s="3" t="s">
        <v>28</v>
      </c>
      <c r="E21" s="3" t="s">
        <v>68</v>
      </c>
    </row>
    <row r="22" spans="1:9">
      <c r="A22" s="14" t="s">
        <v>22</v>
      </c>
      <c r="B22" s="15">
        <v>35</v>
      </c>
      <c r="C22" s="14" t="s">
        <v>28</v>
      </c>
      <c r="D22" s="12"/>
      <c r="E22" s="3" t="s">
        <v>72</v>
      </c>
    </row>
    <row r="23" spans="1:9">
      <c r="A23" s="11" t="s">
        <v>11</v>
      </c>
      <c r="B23" s="11" t="s">
        <v>23</v>
      </c>
    </row>
    <row r="24" spans="1:9">
      <c r="A24" s="3" t="s">
        <v>19</v>
      </c>
      <c r="B24" s="13">
        <v>6</v>
      </c>
      <c r="E24" s="3" t="s">
        <v>69</v>
      </c>
    </row>
    <row r="25" spans="1:9">
      <c r="A25" s="3" t="s">
        <v>31</v>
      </c>
      <c r="B25" s="13">
        <v>7</v>
      </c>
      <c r="C25" s="3" t="s">
        <v>29</v>
      </c>
      <c r="E25" s="3" t="s">
        <v>70</v>
      </c>
      <c r="I25" s="3" t="s">
        <v>83</v>
      </c>
    </row>
    <row r="26" spans="1:9">
      <c r="A26" s="14" t="s">
        <v>22</v>
      </c>
      <c r="B26" s="15">
        <v>7</v>
      </c>
      <c r="C26" s="16" t="s">
        <v>29</v>
      </c>
      <c r="E26" s="3" t="s">
        <v>71</v>
      </c>
    </row>
    <row r="28" spans="1:9">
      <c r="A28" s="17" t="s">
        <v>30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A17:B17"/>
  </mergeCells>
  <phoneticPr fontId="1" type="noConversion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이현민</cp:lastModifiedBy>
  <dcterms:created xsi:type="dcterms:W3CDTF">2021-04-21T07:44:16Z</dcterms:created>
  <dcterms:modified xsi:type="dcterms:W3CDTF">2025-04-14T07:42:15Z</dcterms:modified>
  <cp:category/>
</cp:coreProperties>
</file>